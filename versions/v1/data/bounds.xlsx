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ry/Dropbox/Science/runs/anme-annotation-and-modeling/arcs/anme-srb-community-modeling/external-context/"/>
    </mc:Choice>
  </mc:AlternateContent>
  <xr:revisionPtr revIDLastSave="0" documentId="8_{F3424CF0-437C-9941-B8DF-6AF2EF530848}" xr6:coauthVersionLast="47" xr6:coauthVersionMax="47" xr10:uidLastSave="{00000000-0000-0000-0000-000000000000}"/>
  <bookViews>
    <workbookView xWindow="0" yWindow="600" windowWidth="51200" windowHeight="26640" xr2:uid="{892E64FD-8087-7147-88D7-32DBB8F47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C22" i="1" s="1"/>
  <c r="B20" i="1" s="1"/>
  <c r="H8" i="1"/>
  <c r="G17" i="1"/>
  <c r="K17" i="1" s="1"/>
  <c r="M17" i="1" s="1"/>
  <c r="F17" i="1"/>
  <c r="J17" i="1" s="1"/>
  <c r="L17" i="1" s="1"/>
  <c r="G13" i="1"/>
  <c r="K13" i="1" s="1"/>
  <c r="F13" i="1"/>
  <c r="J13" i="1" s="1"/>
  <c r="G12" i="1"/>
  <c r="K12" i="1" s="1"/>
  <c r="F12" i="1"/>
  <c r="J12" i="1" s="1"/>
  <c r="G11" i="1"/>
  <c r="K11" i="1" s="1"/>
  <c r="F11" i="1"/>
  <c r="J11" i="1" s="1"/>
  <c r="G10" i="1"/>
  <c r="K10" i="1" s="1"/>
  <c r="F10" i="1"/>
  <c r="J10" i="1" s="1"/>
  <c r="G9" i="1"/>
  <c r="K9" i="1" s="1"/>
  <c r="F9" i="1"/>
  <c r="J9" i="1" s="1"/>
  <c r="G8" i="1"/>
  <c r="F8" i="1"/>
  <c r="G7" i="1"/>
  <c r="K7" i="1" s="1"/>
  <c r="F7" i="1"/>
  <c r="J7" i="1" s="1"/>
  <c r="G6" i="1"/>
  <c r="K6" i="1" s="1"/>
  <c r="F6" i="1"/>
  <c r="J6" i="1" s="1"/>
  <c r="G5" i="1"/>
  <c r="K5" i="1" s="1"/>
  <c r="F5" i="1"/>
  <c r="J5" i="1" s="1"/>
  <c r="I2" i="1"/>
  <c r="K8" i="1" l="1"/>
  <c r="M8" i="1" s="1"/>
  <c r="J8" i="1"/>
  <c r="L8" i="1" s="1"/>
  <c r="D18" i="1"/>
  <c r="G18" i="1" s="1"/>
  <c r="K18" i="1" s="1"/>
  <c r="M18" i="1" s="1"/>
  <c r="C18" i="1"/>
  <c r="F18" i="1" s="1"/>
  <c r="J18" i="1" s="1"/>
  <c r="L18" i="1" s="1"/>
  <c r="L6" i="1"/>
  <c r="M6" i="1"/>
  <c r="L7" i="1"/>
  <c r="L9" i="1"/>
  <c r="M9" i="1"/>
  <c r="L10" i="1"/>
  <c r="M10" i="1"/>
  <c r="L11" i="1"/>
  <c r="M11" i="1"/>
  <c r="M12" i="1"/>
  <c r="L13" i="1"/>
  <c r="M13" i="1"/>
  <c r="M5" i="1"/>
  <c r="L5" i="1"/>
  <c r="M7" i="1"/>
  <c r="L12" i="1"/>
</calcChain>
</file>

<file path=xl/sharedStrings.xml><?xml version="1.0" encoding="utf-8"?>
<sst xmlns="http://schemas.openxmlformats.org/spreadsheetml/2006/main" count="66" uniqueCount="48">
  <si>
    <t>units</t>
  </si>
  <si>
    <t>max. conc</t>
  </si>
  <si>
    <t>min. conc</t>
  </si>
  <si>
    <t>in mol/m3</t>
  </si>
  <si>
    <t>aqueous diffusion coefficient</t>
  </si>
  <si>
    <t>flux in mol/m2/s</t>
  </si>
  <si>
    <t>cell surface area (m2)</t>
  </si>
  <si>
    <t>lb</t>
  </si>
  <si>
    <t>ub</t>
  </si>
  <si>
    <t>flux in mmol/cell/hr</t>
  </si>
  <si>
    <t>CH4</t>
  </si>
  <si>
    <t>SO4</t>
  </si>
  <si>
    <t>Acetate</t>
  </si>
  <si>
    <t>Formate</t>
  </si>
  <si>
    <t>H2</t>
  </si>
  <si>
    <t>N2</t>
  </si>
  <si>
    <t>total NH3 (mainly NH4+)</t>
  </si>
  <si>
    <t>Fe2+</t>
  </si>
  <si>
    <t>trace metals</t>
  </si>
  <si>
    <t>total dissolved sulfide (mainly HS-)</t>
  </si>
  <si>
    <t>output</t>
  </si>
  <si>
    <t>uM</t>
  </si>
  <si>
    <t>mM</t>
  </si>
  <si>
    <t>nM</t>
  </si>
  <si>
    <t>sources, comments</t>
  </si>
  <si>
    <t>M</t>
  </si>
  <si>
    <t>?</t>
  </si>
  <si>
    <t>K1</t>
  </si>
  <si>
    <t>pH</t>
  </si>
  <si>
    <t>CO2(aq) (from DIC, pH)</t>
  </si>
  <si>
    <t>DIC</t>
  </si>
  <si>
    <t xml:space="preserve">conversion </t>
  </si>
  <si>
    <t>F = -D*dC/dx = -D*(0-Cenv)/Ldbl</t>
  </si>
  <si>
    <t>boundary layer thickness (Ldbl, m)</t>
  </si>
  <si>
    <t>m2/s at 5degC</t>
  </si>
  <si>
    <t>HPO42-</t>
  </si>
  <si>
    <t>key constraint</t>
  </si>
  <si>
    <t>within the aggregate, we may have different levels than what is measured in the environment</t>
  </si>
  <si>
    <t>should always be available; Kh(N2) = 0.0006 mol/kg/bar (https://webbook.nist.gov/cgi/cbook.cgi?ID=C7727379&amp;Mask=10). 1 and 100 atm</t>
  </si>
  <si>
    <t>adjustable fields</t>
  </si>
  <si>
    <t>input</t>
  </si>
  <si>
    <t>my estimate of the range of ammonium conc. in sediments</t>
  </si>
  <si>
    <t>source for diffusion coefficients: Schulz, H.D. Quantification of early diagenesis: dissolved constituentes in marine pore water. In: Schulz and Zabel (Eds). Marine Geochemistry 2000. </t>
  </si>
  <si>
    <t>S</t>
  </si>
  <si>
    <t>pK1</t>
  </si>
  <si>
    <t>T, K</t>
  </si>
  <si>
    <t xml:space="preserve">K1 </t>
  </si>
  <si>
    <t>Prieto and Millero 2002, GCA, 66, 2529-2540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</si>
</sst>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rgb="FF000000"/>
      <name val=".SF NS"/>
    </font>
    <font>
      <sz val="12"/>
      <color rgb="FFC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3" borderId="0" xfId="0" applyNumberFormat="1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6F7F-C4A3-B54D-9F14-A1AC9862DA3F}">
  <dimension ref="A1:O25"/>
  <sheetViews>
    <sheetView tabSelected="1" workbookViewId="0">
      <selection activeCell="V34" sqref="V34"/>
    </sheetView>
  </sheetViews>
  <sheetFormatPr baseColWidth="10" defaultRowHeight="16"/>
  <cols>
    <col min="1" max="1" width="38.6640625" customWidth="1"/>
    <col min="2" max="2" width="12.1640625" bestFit="1" customWidth="1"/>
    <col min="8" max="8" width="25.6640625" customWidth="1"/>
    <col min="9" max="9" width="12.1640625" bestFit="1" customWidth="1"/>
  </cols>
  <sheetData>
    <row r="1" spans="1:15">
      <c r="A1" s="3" t="s">
        <v>39</v>
      </c>
      <c r="H1" t="s">
        <v>33</v>
      </c>
      <c r="I1" s="2">
        <v>9.9999999999999995E-7</v>
      </c>
    </row>
    <row r="2" spans="1:15">
      <c r="H2" t="s">
        <v>6</v>
      </c>
      <c r="I2" s="3">
        <f>4*PI()*0.00001*0.000001</f>
        <v>1.2566370614359175E-10</v>
      </c>
      <c r="J2" s="10" t="s">
        <v>32</v>
      </c>
    </row>
    <row r="3" spans="1:15">
      <c r="F3" t="s">
        <v>3</v>
      </c>
      <c r="H3" t="s">
        <v>34</v>
      </c>
      <c r="J3" s="6" t="s">
        <v>5</v>
      </c>
      <c r="K3" s="6"/>
      <c r="L3" s="8" t="s">
        <v>9</v>
      </c>
      <c r="M3" s="8"/>
    </row>
    <row r="4" spans="1:15" s="4" customFormat="1">
      <c r="A4" s="4" t="s">
        <v>40</v>
      </c>
      <c r="B4" s="4" t="s">
        <v>0</v>
      </c>
      <c r="C4" s="4" t="s">
        <v>2</v>
      </c>
      <c r="D4" s="4" t="s">
        <v>1</v>
      </c>
      <c r="E4" s="4" t="s">
        <v>31</v>
      </c>
      <c r="F4" s="4" t="s">
        <v>2</v>
      </c>
      <c r="G4" s="4" t="s">
        <v>1</v>
      </c>
      <c r="H4" s="4" t="s">
        <v>4</v>
      </c>
      <c r="J4" s="7" t="s">
        <v>7</v>
      </c>
      <c r="K4" s="7" t="s">
        <v>8</v>
      </c>
      <c r="L4" s="9" t="s">
        <v>7</v>
      </c>
      <c r="M4" s="9" t="s">
        <v>8</v>
      </c>
      <c r="O4" s="4" t="s">
        <v>24</v>
      </c>
    </row>
    <row r="5" spans="1:15">
      <c r="A5" s="10" t="s">
        <v>10</v>
      </c>
      <c r="B5" t="s">
        <v>21</v>
      </c>
      <c r="C5" s="1">
        <v>0</v>
      </c>
      <c r="D5" s="1">
        <v>100000</v>
      </c>
      <c r="E5" s="1">
        <v>1E-3</v>
      </c>
      <c r="F5">
        <f>C5*$E5</f>
        <v>0</v>
      </c>
      <c r="G5">
        <f t="shared" ref="G5:G18" si="0">D5*$E5</f>
        <v>100</v>
      </c>
      <c r="H5" s="1">
        <v>8.97E-10</v>
      </c>
      <c r="J5" s="13">
        <f>-$H5*(0-F5)/$I$1</f>
        <v>0</v>
      </c>
      <c r="K5" s="13">
        <f t="shared" ref="K5:K18" si="1">-$H5*(0-G5)/$I$1</f>
        <v>8.9700000000000002E-2</v>
      </c>
      <c r="L5" s="14">
        <f t="shared" ref="L5:L13" si="2">J5*$I$2*3600/1000</f>
        <v>0</v>
      </c>
      <c r="M5" s="14">
        <f t="shared" ref="M5:M13" si="3">K5*$I$2*3600/1000</f>
        <v>4.0579323987888649E-11</v>
      </c>
      <c r="O5" t="s">
        <v>36</v>
      </c>
    </row>
    <row r="6" spans="1:15">
      <c r="A6" s="10" t="s">
        <v>11</v>
      </c>
      <c r="B6" t="s">
        <v>22</v>
      </c>
      <c r="C6">
        <v>0</v>
      </c>
      <c r="D6">
        <v>30</v>
      </c>
      <c r="E6">
        <v>1</v>
      </c>
      <c r="F6">
        <f t="shared" ref="F6:F18" si="4">C6*$E6</f>
        <v>0</v>
      </c>
      <c r="G6">
        <f t="shared" si="0"/>
        <v>30</v>
      </c>
      <c r="H6" s="1">
        <v>5.7199999999999999E-10</v>
      </c>
      <c r="J6" s="13">
        <f t="shared" ref="J6:J18" si="5">-$H6*(0-F6)/$I$1</f>
        <v>0</v>
      </c>
      <c r="K6" s="13">
        <f t="shared" si="1"/>
        <v>1.7160000000000002E-2</v>
      </c>
      <c r="L6" s="14">
        <f t="shared" si="2"/>
        <v>0</v>
      </c>
      <c r="M6" s="14">
        <f t="shared" si="3"/>
        <v>7.7630011107265241E-12</v>
      </c>
      <c r="O6" t="s">
        <v>36</v>
      </c>
    </row>
    <row r="7" spans="1:15">
      <c r="A7" s="10" t="s">
        <v>12</v>
      </c>
      <c r="B7" t="s">
        <v>22</v>
      </c>
      <c r="C7">
        <v>0</v>
      </c>
      <c r="D7">
        <v>1</v>
      </c>
      <c r="E7">
        <v>1</v>
      </c>
      <c r="F7">
        <f t="shared" si="4"/>
        <v>0</v>
      </c>
      <c r="G7">
        <f t="shared" si="0"/>
        <v>1</v>
      </c>
      <c r="H7" s="1">
        <v>5.7099999999999999E-10</v>
      </c>
      <c r="J7" s="13">
        <f t="shared" si="5"/>
        <v>0</v>
      </c>
      <c r="K7" s="13">
        <f t="shared" si="1"/>
        <v>5.71E-4</v>
      </c>
      <c r="L7" s="14">
        <f t="shared" si="2"/>
        <v>0</v>
      </c>
      <c r="M7" s="14">
        <f t="shared" si="3"/>
        <v>2.583143143487672E-13</v>
      </c>
      <c r="O7" t="s">
        <v>37</v>
      </c>
    </row>
    <row r="8" spans="1:15">
      <c r="A8" s="10" t="s">
        <v>13</v>
      </c>
      <c r="B8" t="s">
        <v>22</v>
      </c>
      <c r="C8">
        <v>0</v>
      </c>
      <c r="D8">
        <v>1</v>
      </c>
      <c r="E8">
        <v>1</v>
      </c>
      <c r="F8">
        <f t="shared" si="4"/>
        <v>0</v>
      </c>
      <c r="G8">
        <f t="shared" si="0"/>
        <v>1</v>
      </c>
      <c r="H8">
        <f>0.424*0.0001/24/3600</f>
        <v>4.9074074074074075E-10</v>
      </c>
      <c r="J8" s="13">
        <f t="shared" si="5"/>
        <v>0</v>
      </c>
      <c r="K8" s="13">
        <f t="shared" si="1"/>
        <v>4.9074074074074081E-4</v>
      </c>
      <c r="L8" s="14">
        <f t="shared" si="2"/>
        <v>0</v>
      </c>
      <c r="M8" s="14">
        <f t="shared" si="3"/>
        <v>2.2200588085367878E-13</v>
      </c>
      <c r="O8" t="s">
        <v>37</v>
      </c>
    </row>
    <row r="9" spans="1:15">
      <c r="A9" s="10" t="s">
        <v>14</v>
      </c>
      <c r="B9" t="s">
        <v>23</v>
      </c>
      <c r="C9" s="1">
        <v>9.9999999999999998E-13</v>
      </c>
      <c r="D9" s="1">
        <v>9.9999999999999995E-7</v>
      </c>
      <c r="E9" s="1">
        <v>9.9999999999999995E-7</v>
      </c>
      <c r="F9">
        <f t="shared" si="4"/>
        <v>9.9999999999999988E-19</v>
      </c>
      <c r="G9">
        <f t="shared" si="0"/>
        <v>9.9999999999999998E-13</v>
      </c>
      <c r="H9" s="1">
        <v>2.3600000000000001E-9</v>
      </c>
      <c r="J9" s="13">
        <f t="shared" si="5"/>
        <v>2.3599999999999997E-21</v>
      </c>
      <c r="K9" s="13">
        <f t="shared" si="1"/>
        <v>2.3600000000000001E-15</v>
      </c>
      <c r="L9" s="14">
        <f t="shared" si="2"/>
        <v>1.0676388473959554E-30</v>
      </c>
      <c r="M9" s="14">
        <f t="shared" si="3"/>
        <v>1.0676388473959554E-24</v>
      </c>
      <c r="O9" t="s">
        <v>37</v>
      </c>
    </row>
    <row r="10" spans="1:15">
      <c r="A10" s="10" t="s">
        <v>16</v>
      </c>
      <c r="B10" t="s">
        <v>21</v>
      </c>
      <c r="C10">
        <v>0</v>
      </c>
      <c r="D10" s="1">
        <v>5000</v>
      </c>
      <c r="E10" s="1">
        <v>1E-3</v>
      </c>
      <c r="F10">
        <f t="shared" si="4"/>
        <v>0</v>
      </c>
      <c r="G10">
        <f t="shared" si="0"/>
        <v>5</v>
      </c>
      <c r="H10" s="1">
        <v>1.0999999999999999E-9</v>
      </c>
      <c r="J10" s="13">
        <f t="shared" si="5"/>
        <v>0</v>
      </c>
      <c r="K10" s="13">
        <f t="shared" si="1"/>
        <v>5.4999999999999997E-3</v>
      </c>
      <c r="L10" s="14">
        <f t="shared" si="2"/>
        <v>0</v>
      </c>
      <c r="M10" s="14">
        <f t="shared" si="3"/>
        <v>2.4881413816431161E-12</v>
      </c>
      <c r="O10" t="s">
        <v>41</v>
      </c>
    </row>
    <row r="11" spans="1:15">
      <c r="A11" s="10" t="s">
        <v>15</v>
      </c>
      <c r="B11" t="s">
        <v>25</v>
      </c>
      <c r="C11" s="1">
        <v>5.9999999999999995E-4</v>
      </c>
      <c r="D11" s="1">
        <v>0.06</v>
      </c>
      <c r="E11" s="1">
        <v>1000</v>
      </c>
      <c r="F11">
        <f t="shared" si="4"/>
        <v>0.6</v>
      </c>
      <c r="G11">
        <f t="shared" si="0"/>
        <v>60</v>
      </c>
      <c r="H11" s="1">
        <v>1.07E-9</v>
      </c>
      <c r="J11" s="13">
        <f t="shared" si="5"/>
        <v>6.4199999999999999E-4</v>
      </c>
      <c r="K11" s="13">
        <f t="shared" si="1"/>
        <v>6.4200000000000007E-2</v>
      </c>
      <c r="L11" s="14">
        <f t="shared" si="2"/>
        <v>2.9043395763906921E-13</v>
      </c>
      <c r="M11" s="14">
        <f t="shared" si="3"/>
        <v>2.9043395763906924E-11</v>
      </c>
      <c r="O11" t="s">
        <v>38</v>
      </c>
    </row>
    <row r="12" spans="1:15">
      <c r="A12" s="10" t="s">
        <v>35</v>
      </c>
      <c r="B12" t="s">
        <v>21</v>
      </c>
      <c r="C12">
        <v>0</v>
      </c>
      <c r="D12" s="1">
        <v>20</v>
      </c>
      <c r="E12" s="1">
        <v>1E-3</v>
      </c>
      <c r="F12">
        <f t="shared" si="4"/>
        <v>0</v>
      </c>
      <c r="G12">
        <f t="shared" si="0"/>
        <v>0.02</v>
      </c>
      <c r="H12" s="1">
        <v>3.9299999999999999E-10</v>
      </c>
      <c r="J12" s="13">
        <f t="shared" si="5"/>
        <v>0</v>
      </c>
      <c r="K12" s="13">
        <f t="shared" si="1"/>
        <v>7.8599999999999993E-6</v>
      </c>
      <c r="L12" s="14">
        <f t="shared" si="2"/>
        <v>0</v>
      </c>
      <c r="M12" s="14">
        <f t="shared" si="3"/>
        <v>3.5557802290390715E-15</v>
      </c>
      <c r="O12" t="s">
        <v>41</v>
      </c>
    </row>
    <row r="13" spans="1:15">
      <c r="A13" s="10" t="s">
        <v>17</v>
      </c>
      <c r="B13" t="s">
        <v>21</v>
      </c>
      <c r="C13">
        <v>0</v>
      </c>
      <c r="D13" s="1">
        <v>1000</v>
      </c>
      <c r="E13" s="1">
        <v>1E-3</v>
      </c>
      <c r="F13">
        <f t="shared" si="4"/>
        <v>0</v>
      </c>
      <c r="G13">
        <f t="shared" si="0"/>
        <v>1</v>
      </c>
      <c r="H13" s="1">
        <v>3.8400000000000002E-10</v>
      </c>
      <c r="J13" s="13">
        <f t="shared" si="5"/>
        <v>0</v>
      </c>
      <c r="K13" s="13">
        <f t="shared" si="1"/>
        <v>3.8400000000000001E-4</v>
      </c>
      <c r="L13" s="14">
        <f t="shared" si="2"/>
        <v>0</v>
      </c>
      <c r="M13" s="14">
        <f t="shared" si="3"/>
        <v>1.7371750737290123E-13</v>
      </c>
      <c r="O13" t="s">
        <v>41</v>
      </c>
    </row>
    <row r="14" spans="1:15">
      <c r="A14" t="s">
        <v>18</v>
      </c>
      <c r="C14" t="s">
        <v>26</v>
      </c>
      <c r="D14" t="s">
        <v>26</v>
      </c>
    </row>
    <row r="16" spans="1:15">
      <c r="A16" s="4" t="s">
        <v>20</v>
      </c>
    </row>
    <row r="17" spans="1:13">
      <c r="A17" t="s">
        <v>19</v>
      </c>
      <c r="B17" t="s">
        <v>21</v>
      </c>
      <c r="C17">
        <v>0</v>
      </c>
      <c r="D17">
        <v>10000</v>
      </c>
      <c r="E17" s="1">
        <v>1E-3</v>
      </c>
      <c r="F17">
        <f t="shared" si="4"/>
        <v>0</v>
      </c>
      <c r="G17">
        <f t="shared" si="0"/>
        <v>10</v>
      </c>
      <c r="H17" s="1">
        <v>1.1100000000000001E-9</v>
      </c>
      <c r="J17">
        <f t="shared" si="5"/>
        <v>0</v>
      </c>
      <c r="K17">
        <f t="shared" si="1"/>
        <v>1.11E-2</v>
      </c>
      <c r="L17">
        <f t="shared" ref="L17:L18" si="6">J17*$I$2*3600/1000</f>
        <v>0</v>
      </c>
      <c r="M17">
        <f t="shared" ref="M17:M18" si="7">K17*$I$2*3600/1000</f>
        <v>5.0215216974979268E-12</v>
      </c>
    </row>
    <row r="18" spans="1:13">
      <c r="A18" t="s">
        <v>29</v>
      </c>
      <c r="B18" t="s">
        <v>22</v>
      </c>
      <c r="C18">
        <f>C19*10^-$B$21/$B$20</f>
        <v>1.3974413420723111E-2</v>
      </c>
      <c r="D18">
        <f>D19*10^-$B$21/$B$20</f>
        <v>0.13974413420723109</v>
      </c>
      <c r="E18">
        <v>1</v>
      </c>
      <c r="F18">
        <f t="shared" si="4"/>
        <v>1.3974413420723111E-2</v>
      </c>
      <c r="G18">
        <f t="shared" si="0"/>
        <v>0.13974413420723109</v>
      </c>
      <c r="H18" s="1">
        <v>1.03E-9</v>
      </c>
      <c r="J18">
        <f t="shared" si="5"/>
        <v>1.4393645823344804E-5</v>
      </c>
      <c r="K18">
        <f t="shared" si="1"/>
        <v>1.4393645823344801E-4</v>
      </c>
      <c r="L18">
        <f t="shared" si="6"/>
        <v>6.5115319646870573E-15</v>
      </c>
      <c r="M18">
        <f t="shared" si="7"/>
        <v>6.5115319646870557E-14</v>
      </c>
    </row>
    <row r="19" spans="1:13">
      <c r="A19" t="s">
        <v>30</v>
      </c>
      <c r="B19" t="s">
        <v>22</v>
      </c>
      <c r="C19">
        <v>2</v>
      </c>
      <c r="D19">
        <v>20</v>
      </c>
    </row>
    <row r="20" spans="1:13" ht="17">
      <c r="A20" t="s">
        <v>27</v>
      </c>
      <c r="B20" s="2">
        <f>C22</f>
        <v>9.0301800223618143E-7</v>
      </c>
      <c r="H20" s="5" t="s">
        <v>42</v>
      </c>
    </row>
    <row r="21" spans="1:13">
      <c r="A21" t="s">
        <v>28</v>
      </c>
      <c r="B21" s="3">
        <v>8.1999999999999993</v>
      </c>
    </row>
    <row r="22" spans="1:13">
      <c r="A22" s="11" t="s">
        <v>47</v>
      </c>
      <c r="B22" t="s">
        <v>46</v>
      </c>
      <c r="C22" s="1">
        <f>10^-(C23)</f>
        <v>9.0301800223618143E-7</v>
      </c>
    </row>
    <row r="23" spans="1:13">
      <c r="B23" t="s">
        <v>44</v>
      </c>
      <c r="C23" s="1">
        <f>-43.6977-0.0129037*C24+0.0001364*C24*C24+2885.378/C25+7.045159*LN(C25)</f>
        <v>6.0443035916644519</v>
      </c>
    </row>
    <row r="24" spans="1:13">
      <c r="B24" s="12" t="s">
        <v>43</v>
      </c>
      <c r="C24" s="12">
        <v>35</v>
      </c>
    </row>
    <row r="25" spans="1:13">
      <c r="B25" s="12" t="s">
        <v>45</v>
      </c>
      <c r="C25" s="12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 D Meile</dc:creator>
  <cp:lastModifiedBy>Henry, Christopher S.</cp:lastModifiedBy>
  <dcterms:created xsi:type="dcterms:W3CDTF">2026-10-20T17:11:21Z</dcterms:created>
  <dcterms:modified xsi:type="dcterms:W3CDTF">2026-10-28T13:09:40Z</dcterms:modified>
</cp:coreProperties>
</file>